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  <sheet name="Claim" sheetId="4" r:id="rId4"/>
  </sheets>
  <definedNames>
    <definedName name="CoefficientList">Premium!$XFD$1:$XFD$41</definedName>
    <definedName name="FocusList">Marketing!$XFC$1:$XFC$19</definedName>
    <definedName name="OfferList">Marketing!$XFD$1:$XFD$4</definedName>
    <definedName name="PercentageList">Marketing!$XFB$1:$XFB$21</definedName>
    <definedName name="YesNoList">Claim!$XFD$1:$XFD$2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  <border>
      <left/>
      <right/>
      <top style="thin">
        <color rgb="FF004894"/>
      </top>
      <bottom style="thin">
        <color rgb="FF004894"/>
      </bottom>
      <diagonal/>
    </border>
    <border>
      <left/>
      <right/>
      <top style="thin">
        <color rgb="FF004894"/>
      </top>
      <bottom/>
      <diagonal/>
    </border>
    <border>
      <left/>
      <right/>
      <top/>
      <bottom style="thin">
        <color rgb="FF004894"/>
      </bottom>
      <diagonal/>
    </border>
  </borders>
  <cellStyleXfs count="1">
    <xf numFmtId="0" fontId="0" fillId="0" borderId="0"/>
  </cellStyleXfs>
  <cellXfs count="57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8" fillId="4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  <xf numFmtId="0" fontId="12" fillId="6" borderId="3" xfId="0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vertical="center"/>
    </xf>
    <xf numFmtId="0" fontId="12" fillId="0" borderId="15" xfId="0" applyFont="1" applyBorder="1" applyAlignment="1">
      <alignment vertical="center" wrapText="1"/>
    </xf>
    <xf numFmtId="165" fontId="0" fillId="3" borderId="10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0" fontId="12" fillId="0" borderId="0" xfId="0" applyFont="1" applyAlignment="1">
      <alignment vertical="center" wrapText="1"/>
    </xf>
    <xf numFmtId="165" fontId="12" fillId="0" borderId="13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right" vertical="center"/>
    </xf>
    <xf numFmtId="0" fontId="8" fillId="2" borderId="16" xfId="0" applyFont="1" applyFill="1" applyBorder="1" applyAlignment="1">
      <alignment horizontal="right" vertical="center"/>
    </xf>
    <xf numFmtId="165" fontId="8" fillId="2" borderId="11" xfId="0" applyNumberFormat="1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vertical="center"/>
    </xf>
    <xf numFmtId="0" fontId="12" fillId="0" borderId="14" xfId="0" applyFont="1" applyBorder="1" applyAlignment="1">
      <alignment vertical="center" wrapText="1"/>
    </xf>
    <xf numFmtId="0" fontId="0" fillId="3" borderId="9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ve kanal dağılımını belirle (her kanal en az %10, toplam = %100) ve dijital kampanyayı kur</t>
        </is>
      </c>
    </row>
    <row r="9" ht="24.8" customHeight="1">
      <c r="B9" s="4" t="inlineStr">
        <is>
          <t xml:space="preserve">3️⃣</t>
        </is>
      </c>
      <c r="C9" s="5" t="inlineStr">
        <is>
          <t xml:space="preserve">HASAR</t>
        </is>
      </c>
      <c r="D9" s="6" t="inlineStr">
        <is>
          <t xml:space="preserve">Hasar operasyonu bütçesini belirle ve kota paylı reasüransı seç</t>
        </is>
      </c>
    </row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Pazarlama kanallarının toplamı %100 olmalı; medya + hediye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+ hasar operasyonu + reasürans bedeli karar bütçesini (€1.022.000)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Mavi Dalga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Mavi Dalga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Uygun fiyatla hızlı büyü, dijitalde öne çık.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241.71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0.95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1.2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1</v>
      </c>
      <c r="E11" s="21" t="inlineStr">
        <is>
          <t xml:space="preserve">Bank</t>
        </is>
      </c>
      <c r="F11" s="22">
        <v>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1</v>
      </c>
      <c r="E12" s="21" t="inlineStr">
        <is>
          <t xml:space="preserve">Digital</t>
        </is>
      </c>
      <c r="F12" s="22">
        <v>0.8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0.95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1.3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0.9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6.1" customWidth="1"/>
    <col min="12" max="12" width="11.3" customWidth="1"/>
  </cols>
  <sheetData>
    <row r="1">
      <c r="XFB1" s="23">
        <v>0</v>
      </c>
      <c r="XFC1" s="23">
        <v>0.1</v>
      </c>
      <c r="XFD1" s="23" t="inlineStr">
        <is>
          <t xml:space="preserve">Konser / etkinlik indirimi</t>
        </is>
      </c>
    </row>
    <row r="2" ht="35.2" customHeight="1">
      <c r="B2" s="9" t="inlineStr">
        <is>
          <t xml:space="preserve">PAZARLAMA - KANAL DAĞILIMI</t>
        </is>
      </c>
      <c r="XFB2" s="23">
        <v>0.05</v>
      </c>
      <c r="XFC2" s="23">
        <v>0.15</v>
      </c>
      <c r="XFD2" s="23" t="inlineStr">
        <is>
          <t xml:space="preserve">Restoran hediye kartı</t>
        </is>
      </c>
    </row>
    <row r="3" ht="37.2" customHeight="1">
      <c r="B3" s="24" t="inlineStr">
        <is>
          <t xml:space="preserve">Pazarlama bütçen satış kanallarında görünürlük alır ve dijital kampanya yürütebilir.
Kampanyayı medya ve hediye arasında böl. Toplam %100 olmalı.</t>
        </is>
      </c>
      <c r="XFB3" s="23">
        <v>0.1</v>
      </c>
      <c r="XFC3" s="23">
        <v>0.2</v>
      </c>
      <c r="XFD3" s="23" t="inlineStr">
        <is>
          <t xml:space="preserve">Kahve hediye kartı</t>
        </is>
      </c>
    </row>
    <row r="4">
      <c r="XFB4" s="23">
        <v>0.15</v>
      </c>
      <c r="XFC4" s="23">
        <v>0.25</v>
      </c>
      <c r="XFD4" s="23" t="inlineStr">
        <is>
          <t xml:space="preserve">Spor salonu üyelik indirimi</t>
        </is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  <c r="XFC5" s="23">
        <v>0.3</v>
      </c>
    </row>
    <row r="6">
      <c r="XFB6" s="23">
        <v>0.25</v>
      </c>
      <c r="XFC6" s="23">
        <v>0.35</v>
      </c>
    </row>
    <row r="7">
      <c r="XFB7" s="23">
        <v>0.3</v>
      </c>
      <c r="XFC7" s="23">
        <v>0.4</v>
      </c>
    </row>
    <row r="8">
      <c r="XFB8" s="23">
        <v>0.35</v>
      </c>
      <c r="XFC8" s="23">
        <v>0.45</v>
      </c>
    </row>
    <row r="9">
      <c r="XFB9" s="23">
        <v>0.4</v>
      </c>
      <c r="XFC9" s="23">
        <v>0.5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  <c r="XFC10" s="23">
        <v>0.55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0.2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  <c r="XFC11" s="23">
        <v>0.6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0.8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  <c r="XFC12" s="23">
        <v>0.65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  <c r="XFC13" s="23">
        <v>0.7</v>
      </c>
    </row>
    <row r="14" ht="30" customHeight="1">
      <c r="B14" s="30" t="inlineStr">
        <is>
          <t xml:space="preserve">KAMPANYA BÜTÇESİ</t>
        </is>
      </c>
      <c r="C14" s="30"/>
      <c r="D14" s="32">
        <f>D23*D24</f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XFB14" s="23">
        <v>0.65</v>
      </c>
      <c r="XFC14" s="23">
        <v>0.75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XFB15" s="23">
        <v>0.7</v>
      </c>
      <c r="XFC15" s="23">
        <v>0.8</v>
      </c>
    </row>
    <row r="16"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XFB16" s="23">
        <v>0.75</v>
      </c>
      <c r="XFC16" s="23">
        <v>0.85</v>
      </c>
    </row>
    <row r="17"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XFB17" s="23">
        <v>0.8</v>
      </c>
      <c r="XFC17" s="23">
        <v>0.9</v>
      </c>
    </row>
    <row r="18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XFB18" s="23">
        <v>0.85</v>
      </c>
      <c r="XFC18" s="23">
        <v>0.95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XFB19" s="23">
        <v>0.9</v>
      </c>
      <c r="XFC19" s="23">
        <v>1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XFB20" s="23">
        <v>0.95</v>
      </c>
    </row>
    <row r="21">
      <c r="XFB21" s="23">
        <v>1</v>
      </c>
    </row>
    <row r="22" ht="27.8" customHeight="1">
      <c r="B22" s="26" t="inlineStr">
        <is>
          <t xml:space="preserve">Pazarlama</t>
        </is>
      </c>
      <c r="C22" s="26" t="inlineStr">
        <is>
          <t xml:space="preserve">Açıklama</t>
        </is>
      </c>
      <c r="D22" s="26" t="inlineStr">
        <is>
          <t xml:space="preserve">Değer</t>
        </is>
      </c>
      <c r="F22" s="34" t="inlineStr">
        <is>
          <t xml:space="preserve">SEÇİLEN HEDİYE</t>
        </is>
      </c>
      <c r="G22" s="38" t="inlineStr">
        <is>
          <t xml:space="preserve">Kahve hediye kartı</t>
        </is>
      </c>
    </row>
    <row r="23" ht="24.8" customHeight="1">
      <c r="B23" s="27" t="inlineStr">
        <is>
          <t xml:space="preserve">Bütçe</t>
        </is>
      </c>
      <c r="C23" s="28" t="inlineStr">
        <is>
          <t xml:space="preserve">Yıllık toplam pazarlama; karar bütçesinden</t>
        </is>
      </c>
      <c r="D23" s="39">
        <v>664000</v>
      </c>
    </row>
    <row r="24" ht="24.8" customHeight="1">
      <c r="B24" s="27" t="inlineStr">
        <is>
          <t xml:space="preserve">Kampanya payı</t>
        </is>
      </c>
      <c r="C24" s="28" t="inlineStr">
        <is>
          <t xml:space="preserve">Dijital kampanyaya gider; kalanı kanal görünürlüğü alır</t>
        </is>
      </c>
      <c r="D24" s="29">
        <v>0.5</v>
      </c>
    </row>
    <row r="26" ht="27.8" customHeight="1">
      <c r="B26" s="26" t="inlineStr">
        <is>
          <t xml:space="preserve">Kanal</t>
        </is>
      </c>
      <c r="C26" s="26" t="inlineStr">
        <is>
          <t xml:space="preserve">Açıklama</t>
        </is>
      </c>
      <c r="D26" s="26" t="inlineStr">
        <is>
          <t xml:space="preserve">Pay</t>
        </is>
      </c>
    </row>
    <row r="27" ht="21.8" customHeight="1">
      <c r="B27" s="27" t="inlineStr">
        <is>
          <t xml:space="preserve">Agency</t>
        </is>
      </c>
      <c r="C27" s="28" t="inlineStr">
        <is>
          <t xml:space="preserve">Acente pazarlama desteği</t>
        </is>
      </c>
      <c r="D27" s="29">
        <v>0.2</v>
      </c>
    </row>
    <row r="28" ht="21.8" customHeight="1">
      <c r="B28" s="27" t="inlineStr">
        <is>
          <t xml:space="preserve">Bank</t>
        </is>
      </c>
      <c r="C28" s="28" t="inlineStr">
        <is>
          <t xml:space="preserve">Bankasürans görünürlüğü</t>
        </is>
      </c>
      <c r="D28" s="29">
        <v>0.25</v>
      </c>
    </row>
    <row r="29" ht="21.8" customHeight="1">
      <c r="B29" s="27" t="inlineStr">
        <is>
          <t xml:space="preserve">Digital</t>
        </is>
      </c>
      <c r="C29" s="28" t="inlineStr">
        <is>
          <t xml:space="preserve">Çevrimiçi görünürlük (kampanya dışında)</t>
        </is>
      </c>
      <c r="D29" s="29">
        <v>0.45</v>
      </c>
    </row>
    <row r="30" ht="21.8" customHeight="1">
      <c r="B30" s="27" t="inlineStr">
        <is>
          <t xml:space="preserve">Broker</t>
        </is>
      </c>
      <c r="C30" s="28" t="inlineStr">
        <is>
          <t xml:space="preserve">Broker desteği</t>
        </is>
      </c>
      <c r="D30" s="29">
        <v>0.1</v>
      </c>
    </row>
    <row r="31" ht="27.8" customHeight="1">
      <c r="B31" s="30" t="inlineStr">
        <is>
          <t xml:space="preserve">TOTAL</t>
        </is>
      </c>
      <c r="C31" s="30"/>
      <c r="D31" s="31">
        <f>SUM(D27:D30)</f>
      </c>
    </row>
  </sheetData>
  <mergeCells count="9">
    <mergeCell ref="B2:H2"/>
    <mergeCell ref="B3:H3"/>
    <mergeCell ref="B5:H5"/>
    <mergeCell ref="B13:C13"/>
    <mergeCell ref="B14:C14"/>
    <mergeCell ref="F12:H12"/>
    <mergeCell ref="F14:J14"/>
    <mergeCell ref="F20:J20"/>
    <mergeCell ref="B31:C31"/>
  </mergeCells>
  <conditionalFormatting sqref="D13">
    <cfRule type="cellIs" dxfId="0" priority="1" operator="notEqual">
      <formula>1</formula>
    </cfRule>
  </conditionalFormatting>
  <conditionalFormatting sqref="D31">
    <cfRule type="cellIs" dxfId="0" priority="2" operator="notEqual">
      <formula>1</formula>
    </cfRule>
  </conditionalFormatting>
  <dataValidations count="4">
    <dataValidation type="list" allowBlank="1" showErrorMessage="1" error="Listeden bir pay seç (%5 adım)." sqref="D11:D12 D24">
      <formula1>PercentageList</formula1>
    </dataValidation>
    <dataValidation type="list" allowBlank="1" showErrorMessage="1" error="Listeden bir pay seç (en az %10)." sqref="D27:D30">
      <formula1>FocusList</formula1>
    </dataValidation>
    <dataValidation type="list" allowBlank="1" showErrorMessage="1" error="Hediyelerden birini seç." sqref="G22">
      <formula1>OfferList</formula1>
    </dataValidation>
    <dataValidation type="decimal" operator="between" allowBlank="1" showErrorMessage="1" error="0 ile 1022000 arasında gir." sqref="D23">
      <formula1>0</formula1>
      <formula2>1022000</formula2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25" customWidth="1"/>
    <col min="3" max="3" width="45.4" customWidth="1"/>
    <col min="4" max="4" width="16" customWidth="1"/>
    <col min="11" max="11" width="4.9" customWidth="1"/>
  </cols>
  <sheetData>
    <row r="1">
      <c r="XFD1" s="23" t="inlineStr">
        <is>
          <t xml:space="preserve">Evet</t>
        </is>
      </c>
    </row>
    <row r="2" ht="35.2" customHeight="1">
      <c r="B2" s="9" t="inlineStr">
        <is>
          <t xml:space="preserve">HASAR - BÜTÇE DAĞILIMI</t>
        </is>
      </c>
      <c r="XFD2" s="23" t="inlineStr">
        <is>
          <t xml:space="preserve">Hayır</t>
        </is>
      </c>
    </row>
    <row r="3" ht="24.8" customHeight="1">
      <c r="B3" s="10" t="inlineStr">
        <is>
          <t xml:space="preserve">Hasar operasyonu bütçesini ve reasürans anlaşmasını belirle</t>
        </is>
      </c>
    </row>
    <row r="5" ht="27.8" customHeight="1">
      <c r="B5" s="40" t="inlineStr">
        <is>
          <t xml:space="preserve">📊 HASAR OPERASYONU</t>
        </is>
      </c>
    </row>
    <row r="7" ht="26.2" customHeight="1">
      <c r="B7" s="41" t="inlineStr">
        <is>
          <t xml:space="preserve">PARAMETRE</t>
        </is>
      </c>
      <c r="C7" s="42" t="inlineStr">
        <is>
          <t xml:space="preserve">AÇIKLAMA</t>
        </is>
      </c>
      <c r="D7" s="43" t="inlineStr">
        <is>
          <t xml:space="preserve">DEĞER</t>
        </is>
      </c>
    </row>
    <row r="8" ht="26.2" customHeight="1">
      <c r="B8" s="44" t="inlineStr">
        <is>
          <t xml:space="preserve">Hasar operasyonu</t>
        </is>
      </c>
      <c r="C8" s="45" t="inlineStr">
        <is>
          <t xml:space="preserve">Hasar yönetim kapasitesi. Az olursa memnuniyet (NPS) düşer, hasar maliyeti kaçar.</t>
        </is>
      </c>
      <c r="D8" s="46">
        <v>307000</v>
      </c>
    </row>
    <row r="9" ht="26.2" customHeight="1">
      <c r="B9" s="47" t="inlineStr">
        <is>
          <t xml:space="preserve">Pazarlama bütçesi</t>
        </is>
      </c>
      <c r="C9" s="48" t="inlineStr">
        <is>
          <t xml:space="preserve">Pazarlama sayfasından</t>
        </is>
      </c>
      <c r="D9" s="49">
        <f>Marketing!D23</f>
      </c>
    </row>
    <row r="10" ht="26.2" customHeight="1">
      <c r="B10" s="47" t="inlineStr">
        <is>
          <t xml:space="preserve">Reasürans bedeli</t>
        </is>
      </c>
      <c r="C10" s="48" t="inlineStr">
        <is>
          <t xml:space="preserve">Anlaşma seçilirse bütçeden ödenir</t>
        </is>
      </c>
      <c r="D10" s="49">
        <f>IF(D17="Evet",128000,0)</f>
      </c>
    </row>
    <row r="11" ht="26.2" customHeight="1">
      <c r="B11" s="47" t="inlineStr">
        <is>
          <t xml:space="preserve">Karar bütçesi</t>
        </is>
      </c>
      <c r="C11" s="48" t="inlineStr">
        <is>
          <t xml:space="preserve">Yıl içinde harcayabileceğin en fazla tutar</t>
        </is>
      </c>
      <c r="D11" s="49">
        <v>1022000</v>
      </c>
    </row>
    <row r="12" ht="27.8" customHeight="1">
      <c r="B12" s="50" t="inlineStr">
        <is>
          <t xml:space="preserve">TOPLAM KULLANILAN</t>
        </is>
      </c>
      <c r="C12" s="51"/>
      <c r="D12" s="52">
        <f>D8+D9+D10</f>
      </c>
    </row>
    <row r="14" ht="27.8" customHeight="1">
      <c r="B14" s="40" t="inlineStr">
        <is>
          <t xml:space="preserve">🔄 REASÜRANS</t>
        </is>
      </c>
    </row>
    <row r="16" ht="26.2" customHeight="1">
      <c r="B16" s="41" t="inlineStr">
        <is>
          <t xml:space="preserve">PARAMETRE</t>
        </is>
      </c>
      <c r="C16" s="42" t="inlineStr">
        <is>
          <t xml:space="preserve">AÇIKLAMA</t>
        </is>
      </c>
      <c r="D16" s="43" t="inlineStr">
        <is>
          <t xml:space="preserve">DEĞER</t>
        </is>
      </c>
    </row>
    <row r="17" ht="27.8" customHeight="1">
      <c r="B17" s="53" t="inlineStr">
        <is>
          <t xml:space="preserve">Kota paylı reasürans</t>
        </is>
      </c>
      <c r="C17" s="54" t="inlineStr">
        <is>
          <t xml:space="preserve">Prim ve hasarın %30’ini %25 komisyonla devreder; bedeli €128.000</t>
        </is>
      </c>
      <c r="D17" s="55" t="inlineStr">
        <is>
          <t xml:space="preserve">Hayır</t>
        </is>
      </c>
    </row>
    <row r="19">
      <c r="B19" s="56" t="inlineStr">
        <is>
          <t xml:space="preserve">💡 Not: Tüm seçimler açılır listelerden yapılır. Toplam kullanılan karar bütçesini aşmamalı; reasürans yıl boyunca geçerlidir.</t>
        </is>
      </c>
    </row>
  </sheetData>
  <mergeCells count="6">
    <mergeCell ref="B2:I2"/>
    <mergeCell ref="B3:I3"/>
    <mergeCell ref="B5:I5"/>
    <mergeCell ref="B12:C12"/>
    <mergeCell ref="B14:I14"/>
    <mergeCell ref="B19:I19"/>
  </mergeCells>
  <conditionalFormatting sqref="D12">
    <cfRule type="cellIs" dxfId="0" priority="1" operator="greaterThan">
      <formula>D11</formula>
    </cfRule>
  </conditionalFormatting>
  <dataValidations count="2">
    <dataValidation type="decimal" operator="between" allowBlank="1" showErrorMessage="1" error="0 ile 1022000 arasında gir." sqref="D8">
      <formula1>0</formula1>
      <formula2>1022000</formula2>
    </dataValidation>
    <dataValidation type="list" allowBlank="1" showErrorMessage="1" error="Evet ya da Hayır seç." sqref="D17">
      <formula1>YesNoList</formula1>
    </dataValidation>
  </dataValidations>
</worksheet>
</file>