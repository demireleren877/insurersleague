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  <sheet name="Claim" sheetId="4" r:id="rId4"/>
  </sheets>
  <definedNames>
    <definedName name="CoefficientList">Premium!$XFD$1:$XFD$41</definedName>
    <definedName name="FocusList">Marketing!$XFC$1:$XFC$19</definedName>
    <definedName name="OfferList">Marketing!$XFD$1:$XFD$4</definedName>
    <definedName name="PercentageList">Marketing!$XFB$1:$XFB$21</definedName>
    <definedName name="YesNoList">Claim!$XFD$1:$XFD$2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  <border>
      <left/>
      <right/>
      <top style="thin">
        <color rgb="FF004894"/>
      </top>
      <bottom style="thin">
        <color rgb="FF004894"/>
      </bottom>
      <diagonal/>
    </border>
    <border>
      <left/>
      <right/>
      <top style="thin">
        <color rgb="FF004894"/>
      </top>
      <bottom/>
      <diagonal/>
    </border>
    <border>
      <left/>
      <right/>
      <top/>
      <bottom style="thin">
        <color rgb="FF004894"/>
      </bottom>
      <diagonal/>
    </border>
  </borders>
  <cellStyleXfs count="1">
    <xf numFmtId="0" fontId="0" fillId="0" borderId="0"/>
  </cellStyleXfs>
  <cellXfs count="57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8" fillId="4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  <xf numFmtId="0" fontId="12" fillId="6" borderId="3" xfId="0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vertical="center"/>
    </xf>
    <xf numFmtId="0" fontId="12" fillId="0" borderId="15" xfId="0" applyFont="1" applyBorder="1" applyAlignment="1">
      <alignment vertical="center" wrapText="1"/>
    </xf>
    <xf numFmtId="165" fontId="0" fillId="3" borderId="10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0" fontId="12" fillId="0" borderId="0" xfId="0" applyFont="1" applyAlignment="1">
      <alignment vertical="center" wrapText="1"/>
    </xf>
    <xf numFmtId="165" fontId="12" fillId="0" borderId="13" xfId="0" applyNumberFormat="1" applyFont="1" applyBorder="1" applyAlignment="1">
      <alignment horizontal="center" vertical="center"/>
    </xf>
    <xf numFmtId="0" fontId="8" fillId="2" borderId="5" xfId="0" applyFont="1" applyFill="1" applyBorder="1" applyAlignment="1">
      <alignment horizontal="right" vertical="center"/>
    </xf>
    <xf numFmtId="0" fontId="8" fillId="2" borderId="16" xfId="0" applyFont="1" applyFill="1" applyBorder="1" applyAlignment="1">
      <alignment horizontal="right" vertical="center"/>
    </xf>
    <xf numFmtId="165" fontId="8" fillId="2" borderId="11" xfId="0" applyNumberFormat="1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vertical="center"/>
    </xf>
    <xf numFmtId="0" fontId="12" fillId="0" borderId="14" xfId="0" applyFont="1" applyBorder="1" applyAlignment="1">
      <alignment vertical="center" wrapText="1"/>
    </xf>
    <xf numFmtId="0" fontId="0" fillId="3" borderId="9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Corporate Strategy and Simulation Parameters</t>
        </is>
      </c>
    </row>
    <row r="5" ht="30" customHeight="1">
      <c r="B5" s="3" t="inlineStr">
        <is>
          <t xml:space="preserve">📋 USER GUIDE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PREMIUM</t>
        </is>
      </c>
      <c r="D7" s="6" t="inlineStr">
        <is>
          <t xml:space="preserve">Select segment-based coefficients (0.50 - 2.50 range, 0.05 increments)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MARKETING</t>
        </is>
      </c>
      <c r="D8" s="6" t="inlineStr">
        <is>
          <t xml:space="preserve">Set the marketing budget and its channel distribution (each channel min 10%, total must = 100%), and the digital campaign</t>
        </is>
      </c>
    </row>
    <row r="9" ht="24.8" customHeight="1">
      <c r="B9" s="4" t="inlineStr">
        <is>
          <t xml:space="preserve">3️⃣</t>
        </is>
      </c>
      <c r="C9" s="5" t="inlineStr">
        <is>
          <t xml:space="preserve">CLAIM</t>
        </is>
      </c>
      <c r="D9" s="6" t="inlineStr">
        <is>
          <t xml:space="preserve">Set the claims operations budget and choose the quota-share reinsurance</t>
        </is>
      </c>
    </row>
    <row r="11" ht="30" customHeight="1">
      <c r="B11" s="7" t="inlineStr">
        <is>
          <t xml:space="preserve">⚠️ IMPORTANT NOTES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Coefficients, shares and choices are selected from dropdown lists.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Marketing channels total must equal 100%; media + offer must equal 100%.</t>
        </is>
      </c>
    </row>
    <row r="15" ht="21.8" customHeight="1">
      <c r="B15" s="6" t="inlineStr">
        <is>
          <t xml:space="preserve">•</t>
        </is>
      </c>
      <c r="C15" s="6" t="inlineStr">
        <is>
          <t xml:space="preserve">Marketing + claims operations + reinsurance fee must stay within the decision budget (€1,022,000).</t>
        </is>
      </c>
    </row>
    <row r="17" ht="30" customHeight="1">
      <c r="B17" s="3" t="inlineStr">
        <is>
          <t xml:space="preserve">🏷️ TEAM</t>
        </is>
      </c>
    </row>
    <row r="19" ht="24.8" customHeight="1">
      <c r="C19" s="5" t="inlineStr">
        <is>
          <t xml:space="preserve">Team name</t>
        </is>
      </c>
      <c r="D19" s="8" t="inlineStr">
        <is>
          <t xml:space="preserve">Sample Team</t>
        </is>
      </c>
    </row>
    <row r="20" ht="24.8" customHeight="1">
      <c r="C20" s="5" t="inlineStr">
        <is>
          <t xml:space="preserve">Product name (optional)</t>
        </is>
      </c>
      <c r="D20" s="8" t="inlineStr">
        <is>
          <t xml:space="preserve">Sample Casco</t>
        </is>
      </c>
    </row>
    <row r="21" ht="24.8" customHeight="1">
      <c r="C21" s="5" t="inlineStr">
        <is>
          <t xml:space="preserve">Strategy in one sentence (optional)</t>
        </is>
      </c>
      <c r="D21" s="8" t="inlineStr">
        <is>
          <t xml:space="preserve">Follow the market’s price structure, grow through agents.</t>
        </is>
      </c>
    </row>
  </sheetData>
  <mergeCells count="5">
    <mergeCell ref="B2:H2"/>
    <mergeCell ref="B3:H3"/>
    <mergeCell ref="B5:H5"/>
    <mergeCell ref="B11:H11"/>
    <mergeCell ref="B17:H17"/>
  </mergeCells>
  <dataValidations count="3">
    <dataValidation type="textLength" operator="lessThanOrEqual" allowBlank="1" showErrorMessage="1" error="Up to 16 characters." sqref="D19">
      <formula1>16</formula1>
    </dataValidation>
    <dataValidation type="textLength" operator="lessThanOrEqual" allowBlank="1" showErrorMessage="1" error="Up to 32 characters." sqref="D20">
      <formula1>32</formula1>
    </dataValidation>
    <dataValidation type="textLength" operator="lessThanOrEqual" allowBlank="1" showErrorMessage="1" error="Up to 90 characters." sqref="D21">
      <formula1>90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PREMIUM - SEGMENT COEFFICIENTS</t>
        </is>
      </c>
      <c r="XFD2" s="23">
        <v>0.55</v>
      </c>
    </row>
    <row r="3" ht="24.8" customHeight="1">
      <c r="B3" s="10" t="inlineStr">
        <is>
          <t xml:space="preserve">Select coefficient between 0.50 - 2.50 for each segment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BASE 
PREMIUM</t>
        </is>
      </c>
      <c r="C5" s="13">
        <v>278.76</v>
      </c>
      <c r="E5" s="15" t="inlineStr">
        <is>
          <t xml:space="preserve">CUSTOMER TYPE</t>
        </is>
      </c>
      <c r="F5" s="16" t="inlineStr">
        <is>
          <t xml:space="preserve">COEFFICIENT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CITY</t>
        </is>
      </c>
      <c r="C8" s="16" t="inlineStr">
        <is>
          <t xml:space="preserve">COEFFICIENT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CHANNEL</t>
        </is>
      </c>
      <c r="F9" s="16" t="inlineStr">
        <is>
          <t xml:space="preserve">COEFFICIENT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COEFFICIENT</t>
        </is>
      </c>
      <c r="XFD15" s="23">
        <v>1.2</v>
      </c>
    </row>
    <row r="16" ht="26.2" customHeight="1">
      <c r="B16" s="15" t="inlineStr">
        <is>
          <t xml:space="preserve">VEHICLE SEGMENT</t>
        </is>
      </c>
      <c r="C16" s="16" t="inlineStr">
        <is>
          <t xml:space="preserve">COEFFICIENT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Enter a base premium above zero." sqref="C5">
      <formula1>0.01</formula1>
      <formula2>10000000</formula2>
    </dataValidation>
    <dataValidation type="list" allowBlank="1" showErrorMessage="1" error="Pick a coefficient from the list." sqref="F6:F7">
      <formula1>CoefficientList</formula1>
    </dataValidation>
    <dataValidation type="list" allowBlank="1" showErrorMessage="1" error="Pick a coefficient from the list." sqref="C9:C14">
      <formula1>CoefficientList</formula1>
    </dataValidation>
    <dataValidation type="list" allowBlank="1" showErrorMessage="1" error="Pick a coefficient from the list." sqref="F10:F13">
      <formula1>CoefficientList</formula1>
    </dataValidation>
    <dataValidation type="list" allowBlank="1" showErrorMessage="1" error="Pick a coefficient from the list." sqref="F16:F19">
      <formula1>CoefficientList</formula1>
    </dataValidation>
    <dataValidation type="list" allowBlank="1" showErrorMessage="1" error="Pick a coefficient from the list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6.1" customWidth="1"/>
    <col min="12" max="12" width="11.3" customWidth="1"/>
  </cols>
  <sheetData>
    <row r="1">
      <c r="XFB1" s="23">
        <v>0</v>
      </c>
      <c r="XFC1" s="23">
        <v>0.1</v>
      </c>
      <c r="XFD1" s="23" t="inlineStr">
        <is>
          <t xml:space="preserve">Discount on concert/event</t>
        </is>
      </c>
    </row>
    <row r="2" ht="35.2" customHeight="1">
      <c r="B2" s="9" t="inlineStr">
        <is>
          <t xml:space="preserve">MARKETING - CHANNEL DISTRIBUTION</t>
        </is>
      </c>
      <c r="XFB2" s="23">
        <v>0.05</v>
      </c>
      <c r="XFC2" s="23">
        <v>0.15</v>
      </c>
      <c r="XFD2" s="23" t="inlineStr">
        <is>
          <t xml:space="preserve">Restaurant gift card</t>
        </is>
      </c>
    </row>
    <row r="3" ht="37.2" customHeight="1">
      <c r="B3" s="24" t="inlineStr">
        <is>
          <t xml:space="preserve">Your marketing budget buys visibility in the sales channels and can run a digital campaign.
Split the campaign among media &amp; offer. Sum should equal to 100%.</t>
        </is>
      </c>
      <c r="XFB3" s="23">
        <v>0.1</v>
      </c>
      <c r="XFC3" s="23">
        <v>0.2</v>
      </c>
      <c r="XFD3" s="23" t="inlineStr">
        <is>
          <t xml:space="preserve">Coffee gift card</t>
        </is>
      </c>
    </row>
    <row r="4">
      <c r="XFB4" s="23">
        <v>0.15</v>
      </c>
      <c r="XFC4" s="23">
        <v>0.25</v>
      </c>
      <c r="XFD4" s="23" t="inlineStr">
        <is>
          <t xml:space="preserve">Discount on gym membership</t>
        </is>
      </c>
    </row>
    <row r="5" ht="42.6" customHeight="1">
      <c r="B5" s="25" t="inlineStr">
        <is>
          <t xml:space="preserve">Population : 84 million
18-55 years old digital users: 43 million
Target Group: Joyful Disregarders (21% of 18-55 digital users)</t>
        </is>
      </c>
      <c r="XFB5" s="23">
        <v>0.2</v>
      </c>
      <c r="XFC5" s="23">
        <v>0.3</v>
      </c>
    </row>
    <row r="6">
      <c r="XFB6" s="23">
        <v>0.25</v>
      </c>
      <c r="XFC6" s="23">
        <v>0.35</v>
      </c>
    </row>
    <row r="7">
      <c r="XFB7" s="23">
        <v>0.3</v>
      </c>
      <c r="XFC7" s="23">
        <v>0.4</v>
      </c>
    </row>
    <row r="8">
      <c r="XFB8" s="23">
        <v>0.35</v>
      </c>
      <c r="XFC8" s="23">
        <v>0.45</v>
      </c>
    </row>
    <row r="9">
      <c r="XFB9" s="23">
        <v>0.4</v>
      </c>
      <c r="XFC9" s="23">
        <v>0.5</v>
      </c>
    </row>
    <row r="10" ht="27.8" customHeight="1">
      <c r="B10" s="26" t="inlineStr">
        <is>
          <t xml:space="preserve">Budget Split</t>
        </is>
      </c>
      <c r="C10" s="26" t="inlineStr">
        <is>
          <t xml:space="preserve">Description</t>
        </is>
      </c>
      <c r="D10" s="26" t="inlineStr">
        <is>
          <t xml:space="preserve">Share</t>
        </is>
      </c>
      <c r="F10" s="26" t="inlineStr">
        <is>
          <t xml:space="preserve">Media</t>
        </is>
      </c>
      <c r="G10" s="26" t="inlineStr">
        <is>
          <t xml:space="preserve">Description</t>
        </is>
      </c>
      <c r="H10" s="26" t="inlineStr">
        <is>
          <t xml:space="preserve">Cost</t>
        </is>
      </c>
      <c r="XFB10" s="23">
        <v>0.45</v>
      </c>
      <c r="XFC10" s="23">
        <v>0.55</v>
      </c>
    </row>
    <row r="11" ht="27.8" customHeight="1">
      <c r="B11" s="27" t="inlineStr">
        <is>
          <t xml:space="preserve">Media</t>
        </is>
      </c>
      <c r="C11" s="28" t="inlineStr">
        <is>
          <t xml:space="preserve">Social media ads to increase the awareness of the campaign</t>
        </is>
      </c>
      <c r="D11" s="29">
        <v>0.25</v>
      </c>
      <c r="F11" s="27" t="inlineStr">
        <is>
          <t xml:space="preserve">Cost per reach</t>
        </is>
      </c>
      <c r="G11" s="28" t="inlineStr">
        <is>
          <t xml:space="preserve">The cost of 1,000 ad impressions</t>
        </is>
      </c>
      <c r="H11" s="33">
        <v>10</v>
      </c>
      <c r="XFB11" s="23">
        <v>0.5</v>
      </c>
      <c r="XFC11" s="23">
        <v>0.6</v>
      </c>
    </row>
    <row r="12" ht="27.8" customHeight="1">
      <c r="B12" s="27" t="inlineStr">
        <is>
          <t xml:space="preserve">Offer</t>
        </is>
      </c>
      <c r="C12" s="28" t="inlineStr">
        <is>
          <t xml:space="preserve">The offer &amp; gifts you will give to casco new acquisition customers</t>
        </is>
      </c>
      <c r="D12" s="29">
        <v>0.75</v>
      </c>
      <c r="F12" s="24" t="inlineStr">
        <is>
          <t xml:space="preserve">If a customer sees an ad more than 5 times, the hit ratio tends to increase by 10%</t>
        </is>
      </c>
      <c r="G12" s="24"/>
      <c r="H12" s="24"/>
      <c r="XFB12" s="23">
        <v>0.55</v>
      </c>
      <c r="XFC12" s="23">
        <v>0.65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  <c r="XFC13" s="23">
        <v>0.7</v>
      </c>
    </row>
    <row r="14" ht="30" customHeight="1">
      <c r="B14" s="30" t="inlineStr">
        <is>
          <t xml:space="preserve">CAMPAIGN BUDGET</t>
        </is>
      </c>
      <c r="C14" s="30"/>
      <c r="D14" s="32">
        <f>D23*D24</f>
      </c>
      <c r="F14" s="34" t="inlineStr">
        <is>
          <t xml:space="preserve">The Customers who see the ad only once</t>
        </is>
      </c>
      <c r="G14" s="34"/>
      <c r="H14" s="34"/>
      <c r="I14" s="34"/>
      <c r="J14" s="34"/>
      <c r="XFB14" s="23">
        <v>0.65</v>
      </c>
      <c r="XFC14" s="23">
        <v>0.75</v>
      </c>
    </row>
    <row r="15">
      <c r="F15" s="34" t="inlineStr">
        <is>
          <t xml:space="preserve">Possible Offers</t>
        </is>
      </c>
      <c r="G15" s="34" t="inlineStr">
        <is>
          <t xml:space="preserve">Interest Rate</t>
        </is>
      </c>
      <c r="H15" s="34" t="inlineStr">
        <is>
          <t xml:space="preserve">Cost</t>
        </is>
      </c>
      <c r="I15" s="34" t="inlineStr">
        <is>
          <t xml:space="preserve">Click Rate</t>
        </is>
      </c>
      <c r="J15" s="34" t="inlineStr">
        <is>
          <t xml:space="preserve">Hit Ratio</t>
        </is>
      </c>
      <c r="XFB15" s="23">
        <v>0.7</v>
      </c>
      <c r="XFC15" s="23">
        <v>0.8</v>
      </c>
    </row>
    <row r="16">
      <c r="F16" s="35" t="inlineStr">
        <is>
          <t xml:space="preserve">Discount on concert/event</t>
        </is>
      </c>
      <c r="G16" s="36">
        <v>0.5</v>
      </c>
      <c r="H16" s="37">
        <v>50</v>
      </c>
      <c r="I16" s="36">
        <v>0.35</v>
      </c>
      <c r="J16" s="36">
        <v>0.1</v>
      </c>
      <c r="XFB16" s="23">
        <v>0.75</v>
      </c>
      <c r="XFC16" s="23">
        <v>0.85</v>
      </c>
    </row>
    <row r="17">
      <c r="F17" s="35" t="inlineStr">
        <is>
          <t xml:space="preserve">Restaurant gift card</t>
        </is>
      </c>
      <c r="G17" s="36">
        <v>0.7</v>
      </c>
      <c r="H17" s="37">
        <v>30</v>
      </c>
      <c r="I17" s="36">
        <v>0.15</v>
      </c>
      <c r="J17" s="36">
        <v>0.07</v>
      </c>
      <c r="XFB17" s="23">
        <v>0.8</v>
      </c>
      <c r="XFC17" s="23">
        <v>0.9</v>
      </c>
    </row>
    <row r="18">
      <c r="F18" s="35" t="inlineStr">
        <is>
          <t xml:space="preserve">Coffee gift card</t>
        </is>
      </c>
      <c r="G18" s="36">
        <v>0.6</v>
      </c>
      <c r="H18" s="37">
        <v>15</v>
      </c>
      <c r="I18" s="36">
        <v>0.06</v>
      </c>
      <c r="J18" s="36">
        <v>0.09</v>
      </c>
      <c r="XFB18" s="23">
        <v>0.85</v>
      </c>
      <c r="XFC18" s="23">
        <v>0.95</v>
      </c>
    </row>
    <row r="19" ht="14.4" customHeight="1">
      <c r="F19" s="35" t="inlineStr">
        <is>
          <t xml:space="preserve">Discount on gym membership</t>
        </is>
      </c>
      <c r="G19" s="36">
        <v>0.81</v>
      </c>
      <c r="H19" s="37">
        <v>85</v>
      </c>
      <c r="I19" s="36">
        <v>0.5</v>
      </c>
      <c r="J19" s="36">
        <v>0.15</v>
      </c>
      <c r="XFB19" s="23">
        <v>0.9</v>
      </c>
      <c r="XFC19" s="23">
        <v>1</v>
      </c>
    </row>
    <row r="20" ht="27.6" customHeight="1">
      <c r="F20" s="24" t="inlineStr">
        <is>
          <t xml:space="preserve">*You need to give at least one gift to all acquired customers</t>
        </is>
      </c>
      <c r="G20" s="24"/>
      <c r="H20" s="24"/>
      <c r="I20" s="24"/>
      <c r="J20" s="24"/>
      <c r="XFB20" s="23">
        <v>0.95</v>
      </c>
    </row>
    <row r="21">
      <c r="XFB21" s="23">
        <v>1</v>
      </c>
    </row>
    <row r="22" ht="27.8" customHeight="1">
      <c r="B22" s="26" t="inlineStr">
        <is>
          <t xml:space="preserve">Marketing</t>
        </is>
      </c>
      <c r="C22" s="26" t="inlineStr">
        <is>
          <t xml:space="preserve">Description</t>
        </is>
      </c>
      <c r="D22" s="26" t="inlineStr">
        <is>
          <t xml:space="preserve">Value</t>
        </is>
      </c>
      <c r="F22" s="34" t="inlineStr">
        <is>
          <t xml:space="preserve">SELECTED OFFER</t>
        </is>
      </c>
      <c r="G22" s="38" t="inlineStr">
        <is>
          <t xml:space="preserve">Restaurant gift card</t>
        </is>
      </c>
    </row>
    <row r="23" ht="24.8" customHeight="1">
      <c r="B23" s="27" t="inlineStr">
        <is>
          <t xml:space="preserve">Budget</t>
        </is>
      </c>
      <c r="C23" s="28" t="inlineStr">
        <is>
          <t xml:space="preserve">Total marketing for the year, from the decision budget</t>
        </is>
      </c>
      <c r="D23" s="39">
        <v>460000</v>
      </c>
    </row>
    <row r="24" ht="24.8" customHeight="1">
      <c r="B24" s="27" t="inlineStr">
        <is>
          <t xml:space="preserve">Campaign share</t>
        </is>
      </c>
      <c r="C24" s="28" t="inlineStr">
        <is>
          <t xml:space="preserve">Runs the digital campaign; the rest buys channel visibility</t>
        </is>
      </c>
      <c r="D24" s="29">
        <v>0.3</v>
      </c>
    </row>
    <row r="26" ht="27.8" customHeight="1">
      <c r="B26" s="26" t="inlineStr">
        <is>
          <t xml:space="preserve">Channel</t>
        </is>
      </c>
      <c r="C26" s="26" t="inlineStr">
        <is>
          <t xml:space="preserve">Description</t>
        </is>
      </c>
      <c r="D26" s="26" t="inlineStr">
        <is>
          <t xml:space="preserve">Share</t>
        </is>
      </c>
    </row>
    <row r="27" ht="21.8" customHeight="1">
      <c r="B27" s="27" t="inlineStr">
        <is>
          <t xml:space="preserve">Agency</t>
        </is>
      </c>
      <c r="C27" s="28" t="inlineStr">
        <is>
          <t xml:space="preserve">Agent marketing support</t>
        </is>
      </c>
      <c r="D27" s="29">
        <v>0.45</v>
      </c>
    </row>
    <row r="28" ht="21.8" customHeight="1">
      <c r="B28" s="27" t="inlineStr">
        <is>
          <t xml:space="preserve">Bank</t>
        </is>
      </c>
      <c r="C28" s="28" t="inlineStr">
        <is>
          <t xml:space="preserve">Bancassurance visibility</t>
        </is>
      </c>
      <c r="D28" s="29">
        <v>0.25</v>
      </c>
    </row>
    <row r="29" ht="21.8" customHeight="1">
      <c r="B29" s="27" t="inlineStr">
        <is>
          <t xml:space="preserve">Digital</t>
        </is>
      </c>
      <c r="C29" s="28" t="inlineStr">
        <is>
          <t xml:space="preserve">Online visibility (outside the campaign)</t>
        </is>
      </c>
      <c r="D29" s="29">
        <v>0.15</v>
      </c>
    </row>
    <row r="30" ht="21.8" customHeight="1">
      <c r="B30" s="27" t="inlineStr">
        <is>
          <t xml:space="preserve">Broker</t>
        </is>
      </c>
      <c r="C30" s="28" t="inlineStr">
        <is>
          <t xml:space="preserve">Broker support</t>
        </is>
      </c>
      <c r="D30" s="29">
        <v>0.15</v>
      </c>
    </row>
    <row r="31" ht="27.8" customHeight="1">
      <c r="B31" s="30" t="inlineStr">
        <is>
          <t xml:space="preserve">TOTAL</t>
        </is>
      </c>
      <c r="C31" s="30"/>
      <c r="D31" s="31">
        <f>SUM(D27:D30)</f>
      </c>
    </row>
  </sheetData>
  <mergeCells count="9">
    <mergeCell ref="B2:H2"/>
    <mergeCell ref="B3:H3"/>
    <mergeCell ref="B5:H5"/>
    <mergeCell ref="B13:C13"/>
    <mergeCell ref="B14:C14"/>
    <mergeCell ref="F12:H12"/>
    <mergeCell ref="F14:J14"/>
    <mergeCell ref="F20:J20"/>
    <mergeCell ref="B31:C31"/>
  </mergeCells>
  <conditionalFormatting sqref="D13">
    <cfRule type="cellIs" dxfId="0" priority="1" operator="notEqual">
      <formula>1</formula>
    </cfRule>
  </conditionalFormatting>
  <conditionalFormatting sqref="D31">
    <cfRule type="cellIs" dxfId="0" priority="2" operator="notEqual">
      <formula>1</formula>
    </cfRule>
  </conditionalFormatting>
  <dataValidations count="4">
    <dataValidation type="list" allowBlank="1" showErrorMessage="1" error="Pick a share from the list (steps of 5%)." sqref="D11:D12 D24">
      <formula1>PercentageList</formula1>
    </dataValidation>
    <dataValidation type="list" allowBlank="1" showErrorMessage="1" error="Pick a share from the list (at least 10%)." sqref="D27:D30">
      <formula1>FocusList</formula1>
    </dataValidation>
    <dataValidation type="list" allowBlank="1" showErrorMessage="1" error="Pick one of the offers." sqref="G22">
      <formula1>OfferList</formula1>
    </dataValidation>
    <dataValidation type="decimal" operator="between" allowBlank="1" showErrorMessage="1" error="Enter 0 to 1022000." sqref="D23">
      <formula1>0</formula1>
      <formula2>1022000</formula2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25" customWidth="1"/>
    <col min="3" max="3" width="45.4" customWidth="1"/>
    <col min="4" max="4" width="16" customWidth="1"/>
    <col min="11" max="11" width="4.9" customWidth="1"/>
  </cols>
  <sheetData>
    <row r="1">
      <c r="XFD1" s="23" t="inlineStr">
        <is>
          <t xml:space="preserve">Yes</t>
        </is>
      </c>
    </row>
    <row r="2" ht="35.2" customHeight="1">
      <c r="B2" s="9" t="inlineStr">
        <is>
          <t xml:space="preserve">CLAIM - BUDGET ALLOCATION</t>
        </is>
      </c>
      <c r="XFD2" s="23" t="inlineStr">
        <is>
          <t xml:space="preserve">No</t>
        </is>
      </c>
    </row>
    <row r="3" ht="24.8" customHeight="1">
      <c r="B3" s="10" t="inlineStr">
        <is>
          <t xml:space="preserve">Define the claims operations budget and the reinsurance treaty</t>
        </is>
      </c>
    </row>
    <row r="5" ht="27.8" customHeight="1">
      <c r="B5" s="40" t="inlineStr">
        <is>
          <t xml:space="preserve">📊 CLAIMS OPERATIONS</t>
        </is>
      </c>
    </row>
    <row r="7" ht="26.2" customHeight="1">
      <c r="B7" s="41" t="inlineStr">
        <is>
          <t xml:space="preserve">PARAMETER</t>
        </is>
      </c>
      <c r="C7" s="42" t="inlineStr">
        <is>
          <t xml:space="preserve">DESCRIPTION</t>
        </is>
      </c>
      <c r="D7" s="43" t="inlineStr">
        <is>
          <t xml:space="preserve">VALUE</t>
        </is>
      </c>
    </row>
    <row r="8" ht="26.2" customHeight="1">
      <c r="B8" s="44" t="inlineStr">
        <is>
          <t xml:space="preserve">Claims Operations</t>
        </is>
      </c>
      <c r="C8" s="45" t="inlineStr">
        <is>
          <t xml:space="preserve">Claims-handling capacity. Too little hurts satisfaction (NPS) and leaks claims cost.</t>
        </is>
      </c>
      <c r="D8" s="46">
        <v>429000</v>
      </c>
    </row>
    <row r="9" ht="26.2" customHeight="1">
      <c r="B9" s="47" t="inlineStr">
        <is>
          <t xml:space="preserve">Marketing Budget</t>
        </is>
      </c>
      <c r="C9" s="48" t="inlineStr">
        <is>
          <t xml:space="preserve">From the Marketing sheet</t>
        </is>
      </c>
      <c r="D9" s="49">
        <f>Marketing!D23</f>
      </c>
    </row>
    <row r="10" ht="26.2" customHeight="1">
      <c r="B10" s="47" t="inlineStr">
        <is>
          <t xml:space="preserve">Reinsurance Fee</t>
        </is>
      </c>
      <c r="C10" s="48" t="inlineStr">
        <is>
          <t xml:space="preserve">Paid from the budget if the treaty is chosen</t>
        </is>
      </c>
      <c r="D10" s="49">
        <f>IF(D17="Yes",128000,0)</f>
      </c>
    </row>
    <row r="11" ht="26.2" customHeight="1">
      <c r="B11" s="47" t="inlineStr">
        <is>
          <t xml:space="preserve">Decision Budget</t>
        </is>
      </c>
      <c r="C11" s="48" t="inlineStr">
        <is>
          <t xml:space="preserve">The most you can spend in the year</t>
        </is>
      </c>
      <c r="D11" s="49">
        <v>1022000</v>
      </c>
    </row>
    <row r="12" ht="27.8" customHeight="1">
      <c r="B12" s="50" t="inlineStr">
        <is>
          <t xml:space="preserve">TOTAL USED</t>
        </is>
      </c>
      <c r="C12" s="51"/>
      <c r="D12" s="52">
        <f>D8+D9+D10</f>
      </c>
    </row>
    <row r="14" ht="27.8" customHeight="1">
      <c r="B14" s="40" t="inlineStr">
        <is>
          <t xml:space="preserve">🔄 REINSURANCE</t>
        </is>
      </c>
    </row>
    <row r="16" ht="26.2" customHeight="1">
      <c r="B16" s="41" t="inlineStr">
        <is>
          <t xml:space="preserve">PARAMETER</t>
        </is>
      </c>
      <c r="C16" s="42" t="inlineStr">
        <is>
          <t xml:space="preserve">DESCRIPTION</t>
        </is>
      </c>
      <c r="D16" s="43" t="inlineStr">
        <is>
          <t xml:space="preserve">VALUE</t>
        </is>
      </c>
    </row>
    <row r="17" ht="27.8" customHeight="1">
      <c r="B17" s="53" t="inlineStr">
        <is>
          <t xml:space="preserve">Quota-share Reinsurance</t>
        </is>
      </c>
      <c r="C17" s="54" t="inlineStr">
        <is>
          <t xml:space="preserve">Cedes 30% of premium and claims for a 25% commission; costs €128,000</t>
        </is>
      </c>
      <c r="D17" s="55" t="inlineStr">
        <is>
          <t xml:space="preserve">No</t>
        </is>
      </c>
    </row>
    <row r="19">
      <c r="B19" s="56" t="inlineStr">
        <is>
          <t xml:space="preserve">💡 Note: All choices are selected from dropdowns. The total used must not exceed the decision budget; the reinsurance holds for the whole year.</t>
        </is>
      </c>
    </row>
  </sheetData>
  <mergeCells count="6">
    <mergeCell ref="B2:I2"/>
    <mergeCell ref="B3:I3"/>
    <mergeCell ref="B5:I5"/>
    <mergeCell ref="B12:C12"/>
    <mergeCell ref="B14:I14"/>
    <mergeCell ref="B19:I19"/>
  </mergeCells>
  <conditionalFormatting sqref="D12">
    <cfRule type="cellIs" dxfId="0" priority="1" operator="greaterThan">
      <formula>D11</formula>
    </cfRule>
  </conditionalFormatting>
  <dataValidations count="2">
    <dataValidation type="decimal" operator="between" allowBlank="1" showErrorMessage="1" error="Enter 0 to 1022000." sqref="D8">
      <formula1>0</formula1>
      <formula2>1022000</formula2>
    </dataValidation>
    <dataValidation type="list" allowBlank="1" showErrorMessage="1" error="Choose Yes or No." sqref="D17">
      <formula1>YesNoList</formula1>
    </dataValidation>
  </dataValidations>
</worksheet>
</file>