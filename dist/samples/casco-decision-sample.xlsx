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Input" sheetId="1" r:id="rId1"/>
    <sheet name="Premium" sheetId="2" r:id="rId2"/>
    <sheet name="Marketing" sheetId="3" r:id="rId3"/>
  </sheets>
  <definedNames>
    <definedName name="CoefficientList">Premium!$XFD$1:$XFD$41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\ [$€-1];[Red]\-#,##0\ [$€-1]"/>
    <numFmt numFmtId="165" formatCode="_-[$€-2]\ * #,##0_-;\-[$€-2]\ * #,##0_-;_-[$€-2]\ * &quot;-&quot;??_-;_-@_-"/>
  </numFmts>
  <fonts count="15">
    <font>
      <sz val="11"/>
      <name val="Calibri"/>
    </font>
    <font>
      <b/>
      <sz val="18"/>
      <color rgb="FFFFFFFF"/>
      <name val="Calibri"/>
    </font>
    <font>
      <i/>
      <sz val="12"/>
      <color rgb="FF004894"/>
      <name val="Calibri"/>
    </font>
    <font>
      <b/>
      <sz val="14"/>
      <color rgb="FFFFFFFF"/>
      <name val="Calibri"/>
    </font>
    <font>
      <sz val="14"/>
      <name val="Calibri"/>
    </font>
    <font>
      <b/>
      <sz val="11"/>
      <color rgb="FF004FA3"/>
      <name val="Calibri"/>
    </font>
    <font>
      <b/>
      <sz val="16"/>
      <color rgb="FFFFFFFF"/>
      <name val="Calibri"/>
    </font>
    <font>
      <i/>
      <sz val="11"/>
      <color rgb="FF004894"/>
      <name val="Calibri"/>
    </font>
    <font>
      <b/>
      <sz val="11"/>
      <color rgb="FFFFFFFF"/>
      <name val="Calibri"/>
    </font>
    <font>
      <sz val="20"/>
      <name val="Calibri"/>
    </font>
    <font>
      <b/>
      <sz val="11"/>
      <name val="Calibri"/>
    </font>
    <font>
      <i/>
      <sz val="10"/>
      <color rgb="FF004894"/>
      <name val="Calibri"/>
    </font>
    <font>
      <sz val="11"/>
      <color rgb="FF666666"/>
      <name val="Calibri"/>
    </font>
    <font>
      <b/>
      <sz val="12"/>
      <color rgb="FFFFFFFF"/>
      <name val="Calibri"/>
    </font>
    <font>
      <b/>
      <sz val="13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4FA3"/>
        <bgColor indexed="64"/>
      </patternFill>
    </fill>
    <fill>
      <patternFill patternType="solid">
        <fgColor rgb="FFC2D7E0"/>
        <bgColor indexed="64"/>
      </patternFill>
    </fill>
    <fill>
      <patternFill patternType="solid">
        <fgColor rgb="FF004894"/>
        <bgColor indexed="64"/>
      </patternFill>
    </fill>
    <fill>
      <patternFill patternType="solid">
        <fgColor rgb="FFF5F8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</fills>
  <borders count="14">
    <border>
      <left/>
      <right/>
      <top/>
      <bottom/>
      <diagonal/>
    </border>
    <border>
      <left style="thin">
        <color rgb="FF004894"/>
      </left>
      <right style="thin">
        <color rgb="FF004894"/>
      </right>
      <top style="thin">
        <color rgb="FF004894"/>
      </top>
      <bottom style="thin">
        <color rgb="FF004894"/>
      </bottom>
      <diagonal/>
    </border>
    <border>
      <left style="thin">
        <color rgb="FF00489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4894"/>
      </left>
      <right/>
      <top style="thin">
        <color rgb="FF004894"/>
      </top>
      <bottom/>
      <diagonal/>
    </border>
    <border>
      <left style="thin">
        <color rgb="FF004894"/>
      </left>
      <right/>
      <top/>
      <bottom style="thin">
        <color rgb="FF004894"/>
      </bottom>
      <diagonal/>
    </border>
    <border>
      <left style="thin">
        <color rgb="FF004894"/>
      </left>
      <right style="thin">
        <color rgb="FF004894"/>
      </right>
      <top style="thin">
        <color rgb="FF004894"/>
      </top>
      <bottom style="thin">
        <color rgb="FF004894"/>
      </bottom>
      <diagonal/>
    </border>
    <border>
      <left style="thin">
        <color rgb="FF004894"/>
      </left>
      <right style="thin">
        <color rgb="FF004894"/>
      </right>
      <top/>
      <bottom style="thin">
        <color rgb="FF004894"/>
      </bottom>
      <diagonal/>
    </border>
    <border>
      <left style="thin">
        <color rgb="FF004894"/>
      </left>
      <right/>
      <top style="thin">
        <color rgb="FF004894"/>
      </top>
      <bottom style="thin">
        <color rgb="FF004894"/>
      </bottom>
      <diagonal/>
    </border>
    <border>
      <left/>
      <right style="thin">
        <color rgb="FF004894"/>
      </right>
      <top style="thin">
        <color rgb="FF004894"/>
      </top>
      <bottom style="thin">
        <color rgb="FF004894"/>
      </bottom>
      <diagonal/>
    </border>
    <border>
      <left/>
      <right style="thin">
        <color rgb="FF004894"/>
      </right>
      <top style="thin">
        <color rgb="FF004894"/>
      </top>
      <bottom/>
      <diagonal/>
    </border>
    <border>
      <left/>
      <right style="thin">
        <color rgb="FF004894"/>
      </right>
      <top/>
      <bottom style="thin">
        <color rgb="FF004894"/>
      </bottom>
      <diagonal/>
    </border>
    <border>
      <left style="thin">
        <color rgb="FF004894"/>
      </left>
      <right/>
      <top/>
      <bottom/>
      <diagonal/>
    </border>
    <border>
      <left/>
      <right style="thin">
        <color rgb="FF00489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 applyFont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4" borderId="4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164" fontId="9" fillId="0" borderId="6" xfId="0" applyNumberFormat="1" applyFont="1" applyBorder="1" applyAlignment="1">
      <alignment horizontal="center" vertical="center"/>
    </xf>
    <xf numFmtId="164" fontId="9" fillId="0" borderId="7" xfId="0" applyNumberFormat="1" applyFont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vertical="center"/>
    </xf>
    <xf numFmtId="2" fontId="0" fillId="3" borderId="10" xfId="0" applyNumberFormat="1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vertical="center"/>
    </xf>
    <xf numFmtId="2" fontId="0" fillId="3" borderId="11" xfId="0" applyNumberFormat="1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vertical="center"/>
    </xf>
    <xf numFmtId="2" fontId="0" fillId="3" borderId="13" xfId="0" applyNumberFormat="1" applyFont="1" applyFill="1" applyBorder="1" applyAlignment="1">
      <alignment horizontal="center" vertical="center"/>
    </xf>
    <xf numFmtId="0" fontId="0" fillId="0" borderId="0" xfId="0" applyFont="1"/>
    <xf numFmtId="0" fontId="11" fillId="3" borderId="0" xfId="0" applyFont="1" applyFill="1" applyAlignment="1">
      <alignment horizontal="center" vertical="center" wrapText="1"/>
    </xf>
    <xf numFmtId="0" fontId="10" fillId="7" borderId="0" xfId="0" applyFont="1" applyFill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vertical="center"/>
    </xf>
    <xf numFmtId="0" fontId="12" fillId="0" borderId="3" xfId="0" applyFont="1" applyBorder="1" applyAlignment="1">
      <alignment vertical="center" wrapText="1"/>
    </xf>
    <xf numFmtId="9" fontId="12" fillId="6" borderId="3" xfId="0" applyNumberFormat="1" applyFont="1" applyFill="1" applyBorder="1" applyAlignment="1">
      <alignment vertical="center"/>
    </xf>
    <xf numFmtId="0" fontId="13" fillId="4" borderId="3" xfId="0" applyFont="1" applyFill="1" applyBorder="1" applyAlignment="1">
      <alignment horizontal="right" vertical="center" wrapText="1"/>
    </xf>
    <xf numFmtId="9" fontId="8" fillId="4" borderId="3" xfId="0" applyNumberFormat="1" applyFont="1" applyFill="1" applyBorder="1" applyAlignment="1">
      <alignment horizontal="center" vertical="center"/>
    </xf>
    <xf numFmtId="165" fontId="12" fillId="6" borderId="3" xfId="0" applyNumberFormat="1" applyFont="1" applyFill="1" applyBorder="1" applyAlignment="1">
      <alignment horizontal="center" vertical="center"/>
    </xf>
    <xf numFmtId="165" fontId="12" fillId="0" borderId="3" xfId="0" applyNumberFormat="1" applyFont="1" applyBorder="1" applyAlignment="1">
      <alignment vertical="center"/>
    </xf>
    <xf numFmtId="0" fontId="8" fillId="4" borderId="3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vertical="center"/>
    </xf>
    <xf numFmtId="9" fontId="0" fillId="0" borderId="3" xfId="0" applyNumberFormat="1" applyFont="1" applyBorder="1" applyAlignment="1">
      <alignment vertical="center"/>
    </xf>
    <xf numFmtId="165" fontId="0" fillId="0" borderId="3" xfId="0" applyNumberFormat="1" applyFont="1" applyBorder="1" applyAlignment="1">
      <alignment vertical="center"/>
    </xf>
  </cellXfs>
  <dxfs count="1">
    <dxf>
      <font>
        <b/>
        <color rgb="FFC92A2A"/>
      </font>
      <fill>
        <patternFill patternType="solid">
          <bgColor rgb="FFFFE3E3"/>
        </patternFill>
      </fill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4FA3"/>
  </sheetPr>
  <sheetViews>
    <sheetView workbookViewId="0"/>
  </sheetViews>
  <sheetFormatPr defaultRowHeight="15"/>
  <cols>
    <col min="1" max="1" width="3.9" customWidth="1"/>
    <col min="2" max="2" width="5" customWidth="1"/>
    <col min="3" max="3" width="68.1" customWidth="1"/>
    <col min="4" max="4" width="74.7" customWidth="1"/>
  </cols>
  <sheetData>
    <row r="2" ht="39.8" customHeight="1">
      <c r="B2" s="1" t="inlineStr">
        <is>
          <t xml:space="preserve">FINANCE DAY</t>
        </is>
      </c>
    </row>
    <row r="3" ht="24.8" customHeight="1">
      <c r="B3" s="2" t="inlineStr">
        <is>
          <t xml:space="preserve">Corporate Strategy and Simulation Parameters</t>
        </is>
      </c>
    </row>
    <row r="5" ht="30" customHeight="1">
      <c r="B5" s="3" t="inlineStr">
        <is>
          <t xml:space="preserve">📋 USER GUIDE</t>
        </is>
      </c>
    </row>
    <row r="7" ht="24.8" customHeight="1">
      <c r="B7" s="4" t="inlineStr">
        <is>
          <t xml:space="preserve">1️⃣</t>
        </is>
      </c>
      <c r="C7" s="5" t="inlineStr">
        <is>
          <t xml:space="preserve">PREMIUM</t>
        </is>
      </c>
      <c r="D7" s="6" t="inlineStr">
        <is>
          <t xml:space="preserve">Select segment-based coefficients (0,50 - 2,50 range, 0,05 increments)</t>
        </is>
      </c>
    </row>
    <row r="8" ht="24.8" customHeight="1">
      <c r="B8" s="4" t="inlineStr">
        <is>
          <t xml:space="preserve">2️⃣</t>
        </is>
      </c>
      <c r="C8" s="5" t="inlineStr">
        <is>
          <t xml:space="preserve">MARKETING</t>
        </is>
      </c>
      <c r="D8" s="6" t="inlineStr">
        <is>
          <t xml:space="preserve">Set the marketing budget per half-year, split it among media &amp; offer (total must = 100%) and weight the gifts (total must = 100%)</t>
        </is>
      </c>
    </row>
    <row r="9" ht="24.8" customHeight="1"/>
    <row r="11" ht="30" customHeight="1">
      <c r="B11" s="7" t="inlineStr">
        <is>
          <t xml:space="preserve">⚠️ IMPORTANT NOTES</t>
        </is>
      </c>
    </row>
    <row r="13" ht="21.8" customHeight="1">
      <c r="B13" s="6" t="inlineStr">
        <is>
          <t xml:space="preserve">•</t>
        </is>
      </c>
      <c r="C13" s="6" t="inlineStr">
        <is>
          <t xml:space="preserve">Coefficients are picked from dropdown lists; shares are typed in as percentages (any value from 0% to 100%).</t>
        </is>
      </c>
    </row>
    <row r="14" ht="21.8" customHeight="1">
      <c r="B14" s="6" t="inlineStr">
        <is>
          <t xml:space="preserve">•</t>
        </is>
      </c>
      <c r="C14" s="6" t="inlineStr">
        <is>
          <t xml:space="preserve">Media + offer must equal 100%; the gift weights must equal 100%.</t>
        </is>
      </c>
    </row>
    <row r="15" ht="36" customHeight="1">
      <c r="B15" s="6" t="inlineStr">
        <is>
          <t xml:space="preserve">•</t>
        </is>
      </c>
      <c r="C15" s="6" t="inlineStr">
        <is>
          <t xml:space="preserve">The marketing budget is one amount per half-year, up to €250.000: it runs January–June and again July–December, unless you set a new amount at the half-year review. What is not spent stays in profit; nothing carries over.</t>
        </is>
      </c>
    </row>
    <row r="16" ht="36" customHeight="1">
      <c r="B16" s="6" t="inlineStr">
        <is>
          <t xml:space="preserve">•</t>
        </is>
      </c>
      <c r="C16" s="6" t="inlineStr">
        <is>
          <t xml:space="preserve">Costs: claims; 5% of premium for running the business; the channel commission on premium (Agency 5%, Bank 10%, Digital 2%, Broker 10%); a fixed €500.000 a year; and the marketing you actually spend.</t>
        </is>
      </c>
    </row>
    <row r="17" ht="30" customHeight="1">
      <c r="B17" s="3" t="inlineStr">
        <is>
          <t xml:space="preserve">🏷️ TEAM</t>
        </is>
      </c>
    </row>
    <row r="19" ht="24.8" customHeight="1">
      <c r="C19" s="5" t="inlineStr">
        <is>
          <t xml:space="preserve">Team name</t>
        </is>
      </c>
      <c r="D19" s="8" t="inlineStr">
        <is>
          <t xml:space="preserve">Sample Team</t>
        </is>
      </c>
    </row>
    <row r="20" ht="24.8" customHeight="1">
      <c r="C20" s="5" t="inlineStr">
        <is>
          <t xml:space="preserve">Product name (optional)</t>
        </is>
      </c>
      <c r="D20" s="8" t="inlineStr">
        <is>
          <t xml:space="preserve">Sample Casco</t>
        </is>
      </c>
    </row>
    <row r="21" ht="24.8" customHeight="1">
      <c r="C21" s="5" t="inlineStr">
        <is>
          <t xml:space="preserve">Strategy in one sentence (optional)</t>
        </is>
      </c>
      <c r="D21" s="8" t="inlineStr">
        <is>
          <t xml:space="preserve">Follow the market’s price structure, grow through the campaign.</t>
        </is>
      </c>
    </row>
  </sheetData>
  <mergeCells count="5">
    <mergeCell ref="B2:H2"/>
    <mergeCell ref="B3:H3"/>
    <mergeCell ref="B5:H5"/>
    <mergeCell ref="B11:H11"/>
    <mergeCell ref="B17:H17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4894"/>
  </sheetPr>
  <sheetViews>
    <sheetView workbookViewId="0"/>
  </sheetViews>
  <sheetFormatPr defaultRowHeight="15"/>
  <cols>
    <col min="1" max="1" width="3.9" customWidth="1"/>
    <col min="2" max="2" width="17.6" customWidth="1"/>
    <col min="3" max="3" width="12.3" customWidth="1"/>
    <col min="5" max="5" width="15.9" customWidth="1"/>
    <col min="6" max="6" width="12.3" customWidth="1"/>
    <col min="7" max="7" width="36.7" customWidth="1"/>
    <col min="8" max="8" width="12.3" customWidth="1"/>
    <col min="9" max="9" width="15" customWidth="1"/>
    <col min="11" max="11" width="17.9" customWidth="1"/>
    <col min="12" max="12" width="36.7" customWidth="1"/>
    <col min="13" max="13" width="12.3" customWidth="1"/>
    <col min="15" max="15" width="17.6" customWidth="1"/>
    <col min="16" max="16" width="36.7" customWidth="1"/>
    <col min="17" max="17" width="12.3" customWidth="1"/>
  </cols>
  <sheetData>
    <row r="1">
      <c r="XFD1" s="23">
        <v>0.5</v>
      </c>
    </row>
    <row r="2" ht="35.2" customHeight="1">
      <c r="B2" s="9" t="inlineStr">
        <is>
          <t xml:space="preserve">PREMIUM - SEGMENT COEFFICIENTS</t>
        </is>
      </c>
      <c r="XFD2" s="23">
        <v>0.55</v>
      </c>
    </row>
    <row r="3" ht="24.8" customHeight="1">
      <c r="B3" s="10" t="inlineStr">
        <is>
          <t xml:space="preserve">Select coefficient between 0,50 - 2,50 for each segment</t>
        </is>
      </c>
      <c r="XFD3" s="23">
        <v>0.6</v>
      </c>
    </row>
    <row r="4">
      <c r="XFD4" s="23">
        <v>0.65</v>
      </c>
    </row>
    <row r="5" ht="27.8" customHeight="1">
      <c r="B5" s="11" t="inlineStr">
        <is>
          <t xml:space="preserve">BASE 
PREMIUM</t>
        </is>
      </c>
      <c r="C5" s="13">
        <v>278.76</v>
      </c>
      <c r="E5" s="15" t="inlineStr">
        <is>
          <t xml:space="preserve">CUSTOMER TYPE</t>
        </is>
      </c>
      <c r="F5" s="16" t="inlineStr">
        <is>
          <t xml:space="preserve">COEFFICIENT</t>
        </is>
      </c>
      <c r="XFD5" s="23">
        <v>0.7</v>
      </c>
    </row>
    <row r="6" ht="24.8" customHeight="1">
      <c r="B6" s="12"/>
      <c r="C6" s="14"/>
      <c r="E6" s="17" t="inlineStr">
        <is>
          <t xml:space="preserve">Individual</t>
        </is>
      </c>
      <c r="F6" s="18">
        <v>0.85</v>
      </c>
      <c r="XFD6" s="23">
        <v>0.75</v>
      </c>
    </row>
    <row r="7" ht="24.8" customHeight="1">
      <c r="E7" s="19" t="inlineStr">
        <is>
          <t xml:space="preserve">Commercial</t>
        </is>
      </c>
      <c r="F7" s="20">
        <v>1.45</v>
      </c>
      <c r="XFD7" s="23">
        <v>0.8</v>
      </c>
    </row>
    <row r="8" ht="24.8" customHeight="1">
      <c r="B8" s="15" t="inlineStr">
        <is>
          <t xml:space="preserve">CITY</t>
        </is>
      </c>
      <c r="C8" s="16" t="inlineStr">
        <is>
          <t xml:space="preserve">COEFFICIENT</t>
        </is>
      </c>
      <c r="XFD8" s="23">
        <v>0.85</v>
      </c>
    </row>
    <row r="9" ht="24.8" customHeight="1">
      <c r="B9" s="17" t="inlineStr">
        <is>
          <t xml:space="preserve">Istanbul</t>
        </is>
      </c>
      <c r="C9" s="18">
        <v>1.05</v>
      </c>
      <c r="E9" s="15" t="inlineStr">
        <is>
          <t xml:space="preserve">CHANNEL</t>
        </is>
      </c>
      <c r="F9" s="16" t="inlineStr">
        <is>
          <t xml:space="preserve">COEFFICIENT</t>
        </is>
      </c>
      <c r="XFD9" s="23">
        <v>0.9</v>
      </c>
    </row>
    <row r="10" ht="24.8" customHeight="1">
      <c r="B10" s="21" t="inlineStr">
        <is>
          <t xml:space="preserve">Ankara</t>
        </is>
      </c>
      <c r="C10" s="22">
        <v>1</v>
      </c>
      <c r="E10" s="17" t="inlineStr">
        <is>
          <t xml:space="preserve">Agency</t>
        </is>
      </c>
      <c r="F10" s="18">
        <v>0.95</v>
      </c>
      <c r="XFD10" s="23">
        <v>0.95</v>
      </c>
    </row>
    <row r="11" ht="24.8" customHeight="1">
      <c r="B11" s="21" t="inlineStr">
        <is>
          <t xml:space="preserve">Izmir</t>
        </is>
      </c>
      <c r="C11" s="22">
        <v>0.9</v>
      </c>
      <c r="E11" s="21" t="inlineStr">
        <is>
          <t xml:space="preserve">Bank</t>
        </is>
      </c>
      <c r="F11" s="22">
        <v>1.1</v>
      </c>
      <c r="XFD11" s="23">
        <v>1</v>
      </c>
    </row>
    <row r="12" ht="24.8" customHeight="1">
      <c r="B12" s="21" t="inlineStr">
        <is>
          <t xml:space="preserve">Bursa</t>
        </is>
      </c>
      <c r="C12" s="22">
        <v>0.95</v>
      </c>
      <c r="E12" s="21" t="inlineStr">
        <is>
          <t xml:space="preserve">Digital</t>
        </is>
      </c>
      <c r="F12" s="22">
        <v>0.75</v>
      </c>
      <c r="XFD12" s="23">
        <v>1.05</v>
      </c>
    </row>
    <row r="13" ht="24.8" customHeight="1">
      <c r="B13" s="21" t="inlineStr">
        <is>
          <t xml:space="preserve">Antalya</t>
        </is>
      </c>
      <c r="C13" s="22">
        <v>1.05</v>
      </c>
      <c r="E13" s="19" t="inlineStr">
        <is>
          <t xml:space="preserve">Broker</t>
        </is>
      </c>
      <c r="F13" s="20">
        <v>1.3</v>
      </c>
      <c r="XFD13" s="23">
        <v>1.1</v>
      </c>
    </row>
    <row r="14" ht="28.5" customHeight="1">
      <c r="B14" s="19" t="inlineStr">
        <is>
          <t xml:space="preserve">Other</t>
        </is>
      </c>
      <c r="C14" s="20">
        <v>1</v>
      </c>
      <c r="XFD14" s="23">
        <v>1.15</v>
      </c>
    </row>
    <row r="15">
      <c r="E15" s="15" t="inlineStr">
        <is>
          <t xml:space="preserve">PERSONA</t>
        </is>
      </c>
      <c r="F15" s="16" t="inlineStr">
        <is>
          <t xml:space="preserve">COEFFICIENT</t>
        </is>
      </c>
      <c r="XFD15" s="23">
        <v>1.2</v>
      </c>
    </row>
    <row r="16" ht="26.2" customHeight="1">
      <c r="B16" s="15" t="inlineStr">
        <is>
          <t xml:space="preserve">VEHICLE SEGMENT</t>
        </is>
      </c>
      <c r="C16" s="16" t="inlineStr">
        <is>
          <t xml:space="preserve">COEFFICIENT</t>
        </is>
      </c>
      <c r="E16" s="17" t="inlineStr">
        <is>
          <t xml:space="preserve">Bank customer</t>
        </is>
      </c>
      <c r="F16" s="18">
        <v>1.05</v>
      </c>
      <c r="XFD16" s="23">
        <v>1.25</v>
      </c>
    </row>
    <row r="17" ht="27.8" customHeight="1">
      <c r="B17" s="17" t="inlineStr">
        <is>
          <t xml:space="preserve">New/0-1y</t>
        </is>
      </c>
      <c r="C17" s="18">
        <v>0.95</v>
      </c>
      <c r="E17" s="21" t="inlineStr">
        <is>
          <t xml:space="preserve">Post-claim</t>
        </is>
      </c>
      <c r="F17" s="22">
        <v>1.05</v>
      </c>
      <c r="XFD17" s="23">
        <v>1.3</v>
      </c>
    </row>
    <row r="18" ht="30.8" customHeight="1">
      <c r="B18" s="21" t="inlineStr">
        <is>
          <t xml:space="preserve">Mid (2-6y)</t>
        </is>
      </c>
      <c r="C18" s="22">
        <v>1</v>
      </c>
      <c r="E18" s="21" t="inlineStr">
        <is>
          <t xml:space="preserve">Price-driven</t>
        </is>
      </c>
      <c r="F18" s="22">
        <v>1</v>
      </c>
      <c r="XFD18" s="23">
        <v>1.35</v>
      </c>
    </row>
    <row r="19" ht="29.2" customHeight="1">
      <c r="B19" s="19" t="inlineStr">
        <is>
          <t xml:space="preserve">Old (7y+)</t>
        </is>
      </c>
      <c r="C19" s="20">
        <v>1.05</v>
      </c>
      <c r="E19" s="19" t="inlineStr">
        <is>
          <t xml:space="preserve">Value-driven</t>
        </is>
      </c>
      <c r="F19" s="20">
        <v>1.05</v>
      </c>
      <c r="XFD19" s="23">
        <v>1.4</v>
      </c>
    </row>
    <row r="20">
      <c r="XFD20" s="23">
        <v>1.45</v>
      </c>
    </row>
    <row r="21">
      <c r="XFD21" s="23">
        <v>1.5</v>
      </c>
    </row>
    <row r="22">
      <c r="XFD22" s="23">
        <v>1.55</v>
      </c>
    </row>
    <row r="23">
      <c r="XFD23" s="23">
        <v>1.6</v>
      </c>
    </row>
    <row r="24">
      <c r="XFD24" s="23">
        <v>1.65</v>
      </c>
    </row>
    <row r="25">
      <c r="XFD25" s="23">
        <v>1.7</v>
      </c>
    </row>
    <row r="26">
      <c r="XFD26" s="23">
        <v>1.75</v>
      </c>
    </row>
    <row r="27">
      <c r="XFD27" s="23">
        <v>1.8</v>
      </c>
    </row>
    <row r="28">
      <c r="XFD28" s="23">
        <v>1.85</v>
      </c>
    </row>
    <row r="29">
      <c r="XFD29" s="23">
        <v>1.9</v>
      </c>
    </row>
    <row r="30">
      <c r="XFD30" s="23">
        <v>1.95</v>
      </c>
    </row>
    <row r="31">
      <c r="XFD31" s="23">
        <v>2</v>
      </c>
    </row>
    <row r="32">
      <c r="XFD32" s="23">
        <v>2.05</v>
      </c>
    </row>
    <row r="33">
      <c r="XFD33" s="23">
        <v>2.1</v>
      </c>
    </row>
    <row r="34">
      <c r="XFD34" s="23">
        <v>2.15</v>
      </c>
    </row>
    <row r="35">
      <c r="XFD35" s="23">
        <v>2.2</v>
      </c>
    </row>
    <row r="36">
      <c r="XFD36" s="23">
        <v>2.25</v>
      </c>
    </row>
    <row r="37">
      <c r="XFD37" s="23">
        <v>2.3</v>
      </c>
    </row>
    <row r="38">
      <c r="XFD38" s="23">
        <v>2.35</v>
      </c>
    </row>
    <row r="39">
      <c r="XFD39" s="23">
        <v>2.4</v>
      </c>
    </row>
    <row r="40">
      <c r="XFD40" s="23">
        <v>2.45</v>
      </c>
    </row>
    <row r="41">
      <c r="XFD41" s="23">
        <v>2.5</v>
      </c>
    </row>
  </sheetData>
  <mergeCells count="4">
    <mergeCell ref="B2:H2"/>
    <mergeCell ref="B3:H3"/>
    <mergeCell ref="B5:B6"/>
    <mergeCell ref="C5:C6"/>
  </mergeCells>
  <dataValidations count="6">
    <dataValidation type="decimal" operator="between" allowBlank="1" showErrorMessage="1" error="Enter a base premium above zero." sqref="C5">
      <formula1>0.01</formula1>
      <formula2>10000000</formula2>
    </dataValidation>
    <dataValidation type="list" allowBlank="1" showErrorMessage="1" error="Pick a coefficient from the list." sqref="F6:F7">
      <formula1>CoefficientList</formula1>
    </dataValidation>
    <dataValidation type="list" allowBlank="1" showErrorMessage="1" error="Pick a coefficient from the list." sqref="C9:C14">
      <formula1>CoefficientList</formula1>
    </dataValidation>
    <dataValidation type="list" allowBlank="1" showErrorMessage="1" error="Pick a coefficient from the list." sqref="F10:F13">
      <formula1>CoefficientList</formula1>
    </dataValidation>
    <dataValidation type="list" allowBlank="1" showErrorMessage="1" error="Pick a coefficient from the list." sqref="F16:F19">
      <formula1>CoefficientList</formula1>
    </dataValidation>
    <dataValidation type="list" allowBlank="1" showErrorMessage="1" error="Pick a coefficient from the list." sqref="C17:C19">
      <formula1>CoefficientList</formula1>
    </dataValidation>
  </dataValidation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4FA3"/>
  </sheetPr>
  <sheetViews>
    <sheetView workbookViewId="0" showGridLines="0"/>
  </sheetViews>
  <sheetFormatPr defaultRowHeight="15"/>
  <cols>
    <col min="1" max="1" width="3.9" customWidth="1"/>
    <col min="2" max="2" width="17.7" customWidth="1"/>
    <col min="3" max="3" width="55.1" customWidth="1"/>
    <col min="4" max="4" width="14.6" customWidth="1"/>
    <col min="5" max="5" width="17.6" customWidth="1"/>
    <col min="6" max="6" width="28.1" customWidth="1"/>
    <col min="7" max="7" width="31.9" customWidth="1"/>
    <col min="9" max="9" width="10.3" customWidth="1"/>
    <col min="10" max="10" width="8.1" customWidth="1"/>
    <col min="11" max="11" width="12.6" customWidth="1"/>
    <col min="12" max="12" width="11.3" customWidth="1"/>
  </cols>
  <sheetData>
    <row r="2" ht="35.2" customHeight="1">
      <c r="B2" s="9" t="inlineStr">
        <is>
          <t xml:space="preserve">MARKETING - MEDIA &amp; OFFER</t>
        </is>
      </c>
    </row>
    <row r="3" ht="37.2" customHeight="1">
      <c r="B3" s="24" t="inlineStr">
        <is>
          <t xml:space="preserve">Enter one budget per half-year, up to €250.000. It runs January–June and again July–December unless you change it at the half-year review.
Split marketing among media &amp; offer (sum = 100%). Then weight the gifts: their sum should also equal 100%.</t>
        </is>
      </c>
    </row>
    <row r="5" ht="42.6" customHeight="1">
      <c r="B5" s="25" t="inlineStr">
        <is>
          <t xml:space="preserve">Population : 84 million
18-55 years old digital users: 43 million
Target Group: Joyful Disregarders (21% of 18-55 digital users)</t>
        </is>
      </c>
    </row>
    <row r="10" ht="27.8" customHeight="1">
      <c r="B10" s="26" t="inlineStr">
        <is>
          <t xml:space="preserve">Budget Split</t>
        </is>
      </c>
      <c r="C10" s="26" t="inlineStr">
        <is>
          <t xml:space="preserve">Description</t>
        </is>
      </c>
      <c r="D10" s="26" t="inlineStr">
        <is>
          <t xml:space="preserve">Share</t>
        </is>
      </c>
      <c r="F10" s="26" t="inlineStr">
        <is>
          <t xml:space="preserve">Media</t>
        </is>
      </c>
      <c r="G10" s="26" t="inlineStr">
        <is>
          <t xml:space="preserve">Description</t>
        </is>
      </c>
      <c r="H10" s="26" t="inlineStr">
        <is>
          <t xml:space="preserve">Cost</t>
        </is>
      </c>
    </row>
    <row r="11" ht="27.8" customHeight="1">
      <c r="B11" s="27" t="inlineStr">
        <is>
          <t xml:space="preserve">Media</t>
        </is>
      </c>
      <c r="C11" s="28" t="inlineStr">
        <is>
          <t xml:space="preserve">Social media ads to increase the awareness of the campaign</t>
        </is>
      </c>
      <c r="D11" s="29">
        <v>0.4</v>
      </c>
      <c r="F11" s="27" t="inlineStr">
        <is>
          <t xml:space="preserve">Cost of reach</t>
        </is>
      </c>
      <c r="G11" s="28" t="inlineStr">
        <is>
          <t xml:space="preserve">The cost of reaching 100 customers</t>
        </is>
      </c>
      <c r="H11" s="33">
        <v>10</v>
      </c>
    </row>
    <row r="12" ht="27.8" customHeight="1">
      <c r="B12" s="27" t="inlineStr">
        <is>
          <t xml:space="preserve">Offer</t>
        </is>
      </c>
      <c r="C12" s="28" t="inlineStr">
        <is>
          <t xml:space="preserve">The offer &amp; gifts you will give to casco new acquisition customers</t>
        </is>
      </c>
      <c r="D12" s="29">
        <v>0.6</v>
      </c>
      <c r="F12" s="24" t="inlineStr">
        <is>
          <t xml:space="preserve">All teams share one target group: the more media everyone buys, the more of it lands on people already reached, so each extra euro reaches fewer new customers</t>
        </is>
      </c>
      <c r="G12" s="24"/>
      <c r="H12" s="24"/>
    </row>
    <row r="13" ht="29.2" customHeight="1">
      <c r="B13" s="30" t="inlineStr">
        <is>
          <t xml:space="preserve">TOTAL</t>
        </is>
      </c>
      <c r="C13" s="30"/>
      <c r="D13" s="31">
        <f>D11+D12</f>
      </c>
    </row>
    <row r="14" ht="30" customHeight="1">
      <c r="B14" s="30" t="inlineStr">
        <is>
          <t xml:space="preserve">BUDGET</t>
        </is>
      </c>
      <c r="C14" s="30" t="inlineStr">
        <is>
          <t xml:space="preserve">Budget per half-year (at most €250.000)</t>
        </is>
      </c>
      <c r="D14" s="32">
        <v>150000</v>
      </c>
      <c r="F14" s="34" t="inlineStr">
        <is>
          <t xml:space="preserve">The customers the ads reach</t>
        </is>
      </c>
      <c r="G14" s="34"/>
      <c r="H14" s="34"/>
      <c r="I14" s="34"/>
      <c r="J14" s="34"/>
      <c r="K14" s="34"/>
    </row>
    <row r="15">
      <c r="F15" s="34" t="inlineStr">
        <is>
          <t xml:space="preserve">Possible Offers</t>
        </is>
      </c>
      <c r="G15" s="34" t="inlineStr">
        <is>
          <t xml:space="preserve">Interest Rate</t>
        </is>
      </c>
      <c r="H15" s="34" t="inlineStr">
        <is>
          <t xml:space="preserve">Cost</t>
        </is>
      </c>
      <c r="I15" s="34" t="inlineStr">
        <is>
          <t xml:space="preserve">Click Rate</t>
        </is>
      </c>
      <c r="J15" s="34" t="inlineStr">
        <is>
          <t xml:space="preserve">Hit Ratio</t>
        </is>
      </c>
      <c r="K15" s="34" t="inlineStr">
        <is>
          <t xml:space="preserve">Weight</t>
        </is>
      </c>
    </row>
    <row r="16" ht="24" customHeight="1">
      <c r="B16" s="24" t="inlineStr">
        <is>
          <t xml:space="preserve">Customers per gift = reach × weight × interest × click × hit ratio.
Each gift can serve at most (offer budget × its weight) ÷ its cost customers.</t>
        </is>
      </c>
      <c r="C16" s="24"/>
      <c r="D16" s="24"/>
      <c r="F16" s="35" t="inlineStr">
        <is>
          <t xml:space="preserve">Discount on concert/event</t>
        </is>
      </c>
      <c r="G16" s="36">
        <v>0.5</v>
      </c>
      <c r="H16" s="37">
        <v>50</v>
      </c>
      <c r="I16" s="36">
        <v>0.35</v>
      </c>
      <c r="J16" s="36">
        <v>0.1</v>
      </c>
      <c r="K16" s="29">
        <v>0.2</v>
      </c>
    </row>
    <row r="17" ht="24" customHeight="1">
      <c r="B17" s="24"/>
      <c r="C17" s="24"/>
      <c r="D17" s="24"/>
      <c r="F17" s="35" t="inlineStr">
        <is>
          <t xml:space="preserve">Restaurant gift card</t>
        </is>
      </c>
      <c r="G17" s="36">
        <v>0.7</v>
      </c>
      <c r="H17" s="37">
        <v>30</v>
      </c>
      <c r="I17" s="36">
        <v>0.15</v>
      </c>
      <c r="J17" s="36">
        <v>0.07</v>
      </c>
      <c r="K17" s="29">
        <v>0.4</v>
      </c>
    </row>
    <row r="18" ht="24" customHeight="1">
      <c r="F18" s="35" t="inlineStr">
        <is>
          <t xml:space="preserve">Coffee gift card</t>
        </is>
      </c>
      <c r="G18" s="36">
        <v>0.6</v>
      </c>
      <c r="H18" s="37">
        <v>15</v>
      </c>
      <c r="I18" s="36">
        <v>0.06</v>
      </c>
      <c r="J18" s="36">
        <v>0.09</v>
      </c>
      <c r="K18" s="29">
        <v>0.3</v>
      </c>
    </row>
    <row r="19" ht="14.4" customHeight="1">
      <c r="F19" s="35" t="inlineStr">
        <is>
          <t xml:space="preserve">Discount on gym membership</t>
        </is>
      </c>
      <c r="G19" s="36">
        <v>0.81</v>
      </c>
      <c r="H19" s="37">
        <v>85</v>
      </c>
      <c r="I19" s="36">
        <v>0.5</v>
      </c>
      <c r="J19" s="36">
        <v>0.15</v>
      </c>
      <c r="K19" s="29">
        <v>0.1</v>
      </c>
    </row>
    <row r="20" ht="27.6" customHeight="1">
      <c r="F20" s="24" t="inlineStr">
        <is>
          <t xml:space="preserve">*You need to give at least one gift to all acquired customers</t>
        </is>
      </c>
      <c r="G20" s="24"/>
      <c r="H20" s="24"/>
      <c r="I20" s="24"/>
      <c r="J20" s="24"/>
      <c r="K20" s="31">
        <f>SUM(K16:K19)</f>
      </c>
    </row>
  </sheetData>
  <mergeCells count="7">
    <mergeCell ref="B2:H2"/>
    <mergeCell ref="B5:H5"/>
    <mergeCell ref="B13:C13"/>
    <mergeCell ref="B16:D17"/>
    <mergeCell ref="F12:H12"/>
    <mergeCell ref="F14:K14"/>
    <mergeCell ref="F20:J20"/>
  </mergeCells>
  <conditionalFormatting sqref="D13">
    <cfRule type="cellIs" dxfId="0" priority="1" operator="notEqual">
      <formula>1</formula>
    </cfRule>
  </conditionalFormatting>
  <conditionalFormatting sqref="K20">
    <cfRule type="cellIs" dxfId="0" priority="2" operator="notEqual">
      <formula>1</formula>
    </cfRule>
  </conditionalFormatting>
  <conditionalFormatting sqref="D14">
    <cfRule type="cellIs" dxfId="0" priority="3" operator="greaterThan">
      <formula>250000</formula>
    </cfRule>
  </conditionalFormatting>
  <dataValidations count="2">
    <dataValidation type="decimal" operator="between" allowBlank="1" showErrorMessage="1" error="Enter a percentage from 0% to 100%." sqref="D11:D12 K16:K19">
      <formula1>0</formula1>
      <formula2>1</formula2>
    </dataValidation>
    <dataValidation type="decimal" operator="between" allowBlank="1" showErrorMessage="1" error="Enter 0 to 250000." sqref="D14">
      <formula1>0</formula1>
      <formula2>250000</formula2>
    </dataValidation>
  </dataValidations>
</worksheet>
</file>